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n.DESKTOP-83VQBDE\Documents\testes\sbrc2020\Testes\"/>
    </mc:Choice>
  </mc:AlternateContent>
  <xr:revisionPtr revIDLastSave="0" documentId="13_ncr:1_{37213E2E-ED89-4544-8FEE-825B94FC7A80}" xr6:coauthVersionLast="45" xr6:coauthVersionMax="45" xr10:uidLastSave="{00000000-0000-0000-0000-000000000000}"/>
  <bookViews>
    <workbookView xWindow="-120" yWindow="-120" windowWidth="20730" windowHeight="11160" xr2:uid="{50F5AE4D-3D98-4A58-9DB7-2B922B7258A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  <c r="M2" i="1"/>
  <c r="M3" i="1"/>
  <c r="M4" i="1"/>
  <c r="M5" i="1"/>
  <c r="M6" i="1"/>
  <c r="M7" i="1"/>
  <c r="M8" i="1"/>
  <c r="M9" i="1"/>
  <c r="L3" i="1"/>
  <c r="L4" i="1"/>
  <c r="L5" i="1"/>
  <c r="L6" i="1"/>
  <c r="L7" i="1"/>
  <c r="L8" i="1"/>
  <c r="L9" i="1"/>
  <c r="L2" i="1"/>
  <c r="H3" i="1" l="1"/>
  <c r="H4" i="1"/>
  <c r="H5" i="1"/>
  <c r="H6" i="1"/>
  <c r="H7" i="1"/>
  <c r="H8" i="1"/>
  <c r="H9" i="1"/>
  <c r="H2" i="1"/>
  <c r="G4" i="1"/>
  <c r="G5" i="1"/>
  <c r="G7" i="1"/>
  <c r="G9" i="1"/>
  <c r="G2" i="1"/>
  <c r="G3" i="1"/>
  <c r="G8" i="1"/>
  <c r="G6" i="1"/>
</calcChain>
</file>

<file path=xl/sharedStrings.xml><?xml version="1.0" encoding="utf-8"?>
<sst xmlns="http://schemas.openxmlformats.org/spreadsheetml/2006/main" count="24" uniqueCount="18">
  <si>
    <t>vazão web</t>
  </si>
  <si>
    <t>vazão non-web</t>
  </si>
  <si>
    <t>tempo de resposta com dos web</t>
  </si>
  <si>
    <t>tempo de resposta com dos non-web</t>
  </si>
  <si>
    <t>média</t>
  </si>
  <si>
    <t>desvio padrão</t>
  </si>
  <si>
    <t>vazão web dos</t>
  </si>
  <si>
    <t>vazão non-web dos</t>
  </si>
  <si>
    <t>tempo de resposta web</t>
  </si>
  <si>
    <t>tempo de resposta non-web</t>
  </si>
  <si>
    <t>métrica</t>
  </si>
  <si>
    <t>ms</t>
  </si>
  <si>
    <t>rpm</t>
  </si>
  <si>
    <t>medida</t>
  </si>
  <si>
    <t>nível de confiança</t>
  </si>
  <si>
    <t>intervalo de confiança</t>
  </si>
  <si>
    <t>valor crítico</t>
  </si>
  <si>
    <t>erro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</si>
</sst>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533C-288B-402F-97E9-985073388BF8}">
  <dimension ref="A1:N9"/>
  <sheetViews>
    <sheetView tabSelected="1" workbookViewId="0">
      <selection activeCell="M2" sqref="M2"/>
    </sheetView>
  </sheetViews>
  <sheetFormatPr defaultRowHeight="15" x14ac:dyDescent="0.25"/>
  <cols>
    <col min="1" max="1" width="36.28515625" bestFit="1" customWidth="1"/>
    <col min="2" max="2" width="9.140625" customWidth="1"/>
    <col min="8" max="8" width="13.5703125" bestFit="1" customWidth="1"/>
    <col min="10" max="10" width="17.28515625" bestFit="1" customWidth="1"/>
    <col min="11" max="11" width="20.85546875" bestFit="1" customWidth="1"/>
    <col min="12" max="12" width="11.28515625" bestFit="1" customWidth="1"/>
  </cols>
  <sheetData>
    <row r="1" spans="1:14" s="1" customFormat="1" x14ac:dyDescent="0.25">
      <c r="A1" s="1" t="s">
        <v>13</v>
      </c>
      <c r="G1" s="1" t="s">
        <v>4</v>
      </c>
      <c r="H1" s="1" t="s">
        <v>5</v>
      </c>
      <c r="I1" s="1" t="s">
        <v>10</v>
      </c>
      <c r="J1" s="1" t="s">
        <v>14</v>
      </c>
      <c r="K1" s="1" t="s">
        <v>16</v>
      </c>
      <c r="L1" s="1" t="s">
        <v>17</v>
      </c>
      <c r="M1" s="1" t="s">
        <v>15</v>
      </c>
    </row>
    <row r="2" spans="1:14" x14ac:dyDescent="0.25">
      <c r="A2" t="s">
        <v>8</v>
      </c>
      <c r="B2">
        <v>89</v>
      </c>
      <c r="C2">
        <v>105</v>
      </c>
      <c r="D2">
        <v>79</v>
      </c>
      <c r="E2">
        <v>94</v>
      </c>
      <c r="F2">
        <v>82</v>
      </c>
      <c r="G2">
        <f t="shared" ref="G2:G5" si="0">AVERAGE(B2,C2,D2,E2,F2)</f>
        <v>89.8</v>
      </c>
      <c r="H2">
        <f>_xlfn.STDEV.S(C2:F2)</f>
        <v>11.916375287812984</v>
      </c>
      <c r="I2" t="s">
        <v>11</v>
      </c>
      <c r="J2">
        <v>0.95</v>
      </c>
      <c r="K2">
        <v>1.96</v>
      </c>
      <c r="L2">
        <f>H2/SQRT(5)</f>
        <v>5.3291650377896911</v>
      </c>
      <c r="M2">
        <f>G2-K2*L2</f>
        <v>79.3548365259322</v>
      </c>
      <c r="N2">
        <f>G2+K2*L2</f>
        <v>100.24516347406779</v>
      </c>
    </row>
    <row r="3" spans="1:14" x14ac:dyDescent="0.25">
      <c r="A3" t="s">
        <v>9</v>
      </c>
      <c r="B3">
        <v>94</v>
      </c>
      <c r="C3">
        <v>116</v>
      </c>
      <c r="D3">
        <v>68</v>
      </c>
      <c r="E3">
        <v>89</v>
      </c>
      <c r="F3">
        <v>75</v>
      </c>
      <c r="G3">
        <f t="shared" si="0"/>
        <v>88.4</v>
      </c>
      <c r="H3">
        <f t="shared" ref="H3:H9" si="1">_xlfn.STDEV.S(C3:F3)</f>
        <v>21.213203435596427</v>
      </c>
      <c r="I3" t="s">
        <v>11</v>
      </c>
      <c r="J3">
        <v>0.95</v>
      </c>
      <c r="K3">
        <v>1.96</v>
      </c>
      <c r="L3">
        <f t="shared" ref="L3:L9" si="2">H3/SQRT(5)</f>
        <v>9.4868329805051381</v>
      </c>
      <c r="M3">
        <f t="shared" ref="M3:M9" si="3">G3-K3*L3</f>
        <v>69.805807358209933</v>
      </c>
      <c r="N3">
        <f t="shared" ref="N3:N9" si="4">G3+K3*L3</f>
        <v>106.99419264179008</v>
      </c>
    </row>
    <row r="4" spans="1:14" x14ac:dyDescent="0.25">
      <c r="A4" t="s">
        <v>0</v>
      </c>
      <c r="B4">
        <v>4070</v>
      </c>
      <c r="C4">
        <v>3360</v>
      </c>
      <c r="D4">
        <v>4570</v>
      </c>
      <c r="E4">
        <v>3860</v>
      </c>
      <c r="F4">
        <v>4380</v>
      </c>
      <c r="G4">
        <f t="shared" si="0"/>
        <v>4048</v>
      </c>
      <c r="H4">
        <f t="shared" si="1"/>
        <v>545.06115864796925</v>
      </c>
      <c r="I4" t="s">
        <v>12</v>
      </c>
      <c r="J4">
        <v>0.95</v>
      </c>
      <c r="K4">
        <v>1.96</v>
      </c>
      <c r="L4">
        <f t="shared" si="2"/>
        <v>243.75876052633132</v>
      </c>
      <c r="M4">
        <f t="shared" si="3"/>
        <v>3570.2328293683904</v>
      </c>
      <c r="N4">
        <f t="shared" si="4"/>
        <v>4525.7671706316096</v>
      </c>
    </row>
    <row r="5" spans="1:14" x14ac:dyDescent="0.25">
      <c r="A5" t="s">
        <v>1</v>
      </c>
      <c r="B5">
        <v>80</v>
      </c>
      <c r="C5">
        <v>80</v>
      </c>
      <c r="D5">
        <v>83</v>
      </c>
      <c r="E5">
        <v>81</v>
      </c>
      <c r="F5">
        <v>82</v>
      </c>
      <c r="G5">
        <f t="shared" si="0"/>
        <v>81.2</v>
      </c>
      <c r="H5">
        <f t="shared" si="1"/>
        <v>1.2909944487358056</v>
      </c>
      <c r="I5" t="s">
        <v>12</v>
      </c>
      <c r="J5">
        <v>0.95</v>
      </c>
      <c r="K5">
        <v>1.96</v>
      </c>
      <c r="L5">
        <f t="shared" si="2"/>
        <v>0.57735026918962573</v>
      </c>
      <c r="M5">
        <f t="shared" si="3"/>
        <v>80.068393472388337</v>
      </c>
      <c r="N5">
        <f t="shared" si="4"/>
        <v>82.331606527611669</v>
      </c>
    </row>
    <row r="6" spans="1:14" x14ac:dyDescent="0.25">
      <c r="A6" t="s">
        <v>2</v>
      </c>
      <c r="B6">
        <v>806</v>
      </c>
      <c r="C6">
        <v>201</v>
      </c>
      <c r="D6">
        <v>151</v>
      </c>
      <c r="E6">
        <v>1180</v>
      </c>
      <c r="F6">
        <v>1240</v>
      </c>
      <c r="G6">
        <f>AVERAGE(B6,C6,D6,E6,F6)</f>
        <v>715.6</v>
      </c>
      <c r="H6">
        <f t="shared" si="1"/>
        <v>597.83107982104775</v>
      </c>
      <c r="I6" t="s">
        <v>11</v>
      </c>
      <c r="J6">
        <v>0.95</v>
      </c>
      <c r="K6">
        <v>1.96</v>
      </c>
      <c r="L6">
        <f t="shared" si="2"/>
        <v>267.35818670839308</v>
      </c>
      <c r="M6">
        <f t="shared" si="3"/>
        <v>191.57795405154957</v>
      </c>
      <c r="N6">
        <f t="shared" si="4"/>
        <v>1239.6220459484505</v>
      </c>
    </row>
    <row r="7" spans="1:14" x14ac:dyDescent="0.25">
      <c r="A7" t="s">
        <v>3</v>
      </c>
      <c r="B7">
        <v>186</v>
      </c>
      <c r="C7">
        <v>126</v>
      </c>
      <c r="D7">
        <v>37.9</v>
      </c>
      <c r="E7">
        <v>186</v>
      </c>
      <c r="F7">
        <v>272</v>
      </c>
      <c r="G7">
        <f>AVERAGE(C7,B7,D7,E7,F7)</f>
        <v>161.57999999999998</v>
      </c>
      <c r="H7">
        <f t="shared" si="1"/>
        <v>98.661893184079275</v>
      </c>
      <c r="I7" t="s">
        <v>11</v>
      </c>
      <c r="J7">
        <v>0.95</v>
      </c>
      <c r="K7">
        <v>1.96</v>
      </c>
      <c r="L7">
        <f t="shared" si="2"/>
        <v>44.122939989684888</v>
      </c>
      <c r="M7">
        <f t="shared" si="3"/>
        <v>75.099037620217601</v>
      </c>
      <c r="N7">
        <f t="shared" si="4"/>
        <v>248.06096237978238</v>
      </c>
    </row>
    <row r="8" spans="1:14" x14ac:dyDescent="0.25">
      <c r="A8" t="s">
        <v>6</v>
      </c>
      <c r="B8">
        <v>10.1</v>
      </c>
      <c r="C8">
        <v>186</v>
      </c>
      <c r="D8">
        <v>27.1</v>
      </c>
      <c r="E8">
        <v>42.8</v>
      </c>
      <c r="F8">
        <v>30</v>
      </c>
      <c r="G8">
        <f t="shared" ref="G8:G9" si="5">AVERAGE(B8,C8,D8,E8,F8)</f>
        <v>59.2</v>
      </c>
      <c r="H8">
        <f t="shared" si="1"/>
        <v>76.654087736184479</v>
      </c>
      <c r="I8" t="s">
        <v>12</v>
      </c>
      <c r="J8">
        <v>0.95</v>
      </c>
      <c r="K8">
        <v>1.96</v>
      </c>
      <c r="L8">
        <f t="shared" si="2"/>
        <v>34.280750186268293</v>
      </c>
      <c r="M8">
        <f t="shared" si="3"/>
        <v>-7.9902703650858484</v>
      </c>
      <c r="N8">
        <f t="shared" si="4"/>
        <v>126.39027036508585</v>
      </c>
    </row>
    <row r="9" spans="1:14" x14ac:dyDescent="0.25">
      <c r="A9" t="s">
        <v>7</v>
      </c>
      <c r="B9">
        <v>9.06</v>
      </c>
      <c r="C9">
        <v>10.9</v>
      </c>
      <c r="D9">
        <v>3.57</v>
      </c>
      <c r="E9">
        <v>43.5</v>
      </c>
      <c r="F9">
        <v>31</v>
      </c>
      <c r="G9">
        <f t="shared" si="5"/>
        <v>19.606000000000002</v>
      </c>
      <c r="H9">
        <f t="shared" si="1"/>
        <v>18.311104781889416</v>
      </c>
      <c r="I9" t="s">
        <v>12</v>
      </c>
      <c r="J9">
        <v>0.95</v>
      </c>
      <c r="K9">
        <v>1.96</v>
      </c>
      <c r="L9">
        <f t="shared" si="2"/>
        <v>8.1889750070852383</v>
      </c>
      <c r="M9">
        <f t="shared" si="3"/>
        <v>3.5556089861129365</v>
      </c>
      <c r="N9">
        <f t="shared" si="4"/>
        <v>35.656391013887067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Lima Alves</dc:creator>
  <cp:lastModifiedBy>Davi Lima Alves</cp:lastModifiedBy>
  <dcterms:created xsi:type="dcterms:W3CDTF">2019-12-11T02:00:58Z</dcterms:created>
  <dcterms:modified xsi:type="dcterms:W3CDTF">2019-12-15T01:02:06Z</dcterms:modified>
</cp:coreProperties>
</file>